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36" documentId="11_E729DBB0DC8F60DB3A240C4C8ED0504A45B2E90B" xr6:coauthVersionLast="47" xr6:coauthVersionMax="47" xr10:uidLastSave="{0FD4C5DD-A256-48F0-9CFC-CCB989DFFECE}"/>
  <bookViews>
    <workbookView xWindow="0" yWindow="0" windowWidth="16384" windowHeight="8192" tabRatio="500" activeTab="4" xr2:uid="{00000000-000D-0000-FFFF-FFFF00000000}"/>
  </bookViews>
  <sheets>
    <sheet name="📖 Instructions" sheetId="1" r:id="rId1"/>
    <sheet name="💰 Business Costs" sheetId="2" r:id="rId2"/>
    <sheet name="👥 Team &amp; Hours" sheetId="3" r:id="rId3"/>
    <sheet name="⚙️ Overhead Rate" sheetId="4" r:id="rId4"/>
    <sheet name="🔧 Service Pricing" sheetId="5" r:id="rId5"/>
    <sheet name="📊 Price Summary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6" l="1"/>
  <c r="F26" i="5"/>
  <c r="D26" i="5"/>
  <c r="C14" i="6" s="1"/>
  <c r="C25" i="5"/>
  <c r="E25" i="5" s="1"/>
  <c r="C24" i="5"/>
  <c r="E24" i="5" s="1"/>
  <c r="E26" i="5" s="1"/>
  <c r="F21" i="5"/>
  <c r="D21" i="5"/>
  <c r="C13" i="6" s="1"/>
  <c r="C20" i="5"/>
  <c r="E20" i="5" s="1"/>
  <c r="C19" i="5"/>
  <c r="E19" i="5" s="1"/>
  <c r="E21" i="5" s="1"/>
  <c r="F16" i="5"/>
  <c r="D16" i="5"/>
  <c r="C12" i="6" s="1"/>
  <c r="C15" i="5"/>
  <c r="E15" i="5" s="1"/>
  <c r="C14" i="5"/>
  <c r="E14" i="5" s="1"/>
  <c r="E16" i="5" s="1"/>
  <c r="F11" i="5"/>
  <c r="D11" i="5"/>
  <c r="C11" i="6" s="1"/>
  <c r="C10" i="5"/>
  <c r="E10" i="5" s="1"/>
  <c r="C9" i="5"/>
  <c r="E9" i="5" s="1"/>
  <c r="C8" i="5"/>
  <c r="E8" i="5" s="1"/>
  <c r="E11" i="5" s="1"/>
  <c r="G7" i="3"/>
  <c r="H7" i="3" s="1"/>
  <c r="G6" i="3"/>
  <c r="H6" i="3" s="1"/>
  <c r="G5" i="3"/>
  <c r="H5" i="3" s="1"/>
  <c r="G4" i="3"/>
  <c r="H4" i="3" s="1"/>
  <c r="G3" i="3"/>
  <c r="C22" i="2"/>
  <c r="D21" i="2"/>
  <c r="D20" i="2"/>
  <c r="D19" i="2"/>
  <c r="D18" i="2"/>
  <c r="D17" i="2"/>
  <c r="D16" i="2"/>
  <c r="D15" i="2"/>
  <c r="D14" i="2"/>
  <c r="D13" i="2"/>
  <c r="D12" i="2"/>
  <c r="C9" i="2"/>
  <c r="D8" i="2"/>
  <c r="D7" i="2"/>
  <c r="D6" i="2"/>
  <c r="D5" i="2"/>
  <c r="D4" i="2"/>
  <c r="D9" i="2" s="1"/>
  <c r="B5" i="4" l="1"/>
  <c r="C23" i="2"/>
  <c r="C25" i="2" s="1"/>
  <c r="D22" i="2"/>
  <c r="D23" i="2" s="1"/>
  <c r="G8" i="3"/>
  <c r="B11" i="4" s="1"/>
  <c r="H3" i="3"/>
  <c r="H8" i="3" s="1"/>
  <c r="B4" i="4" s="1"/>
  <c r="D5" i="6" l="1"/>
  <c r="B6" i="4"/>
  <c r="B7" i="4" s="1"/>
  <c r="D25" i="2"/>
  <c r="D6" i="6" l="1"/>
  <c r="B14" i="4"/>
  <c r="D4" i="6" l="1"/>
  <c r="G25" i="5"/>
  <c r="G24" i="5"/>
  <c r="G26" i="5" s="1"/>
  <c r="H26" i="5" s="1"/>
  <c r="G20" i="5"/>
  <c r="G19" i="5"/>
  <c r="G21" i="5" s="1"/>
  <c r="H21" i="5" s="1"/>
  <c r="G15" i="5"/>
  <c r="G14" i="5"/>
  <c r="G16" i="5" s="1"/>
  <c r="H16" i="5" s="1"/>
  <c r="G10" i="5"/>
  <c r="G9" i="5"/>
  <c r="G8" i="5"/>
  <c r="G11" i="5" s="1"/>
  <c r="H11" i="5" s="1"/>
  <c r="D11" i="6" l="1"/>
  <c r="I11" i="5"/>
  <c r="E11" i="6" s="1"/>
  <c r="D12" i="6"/>
  <c r="I16" i="5"/>
  <c r="E12" i="6" s="1"/>
  <c r="D13" i="6"/>
  <c r="I21" i="5"/>
  <c r="E13" i="6" s="1"/>
  <c r="D14" i="6"/>
  <c r="I26" i="5"/>
  <c r="E14" i="6" s="1"/>
</calcChain>
</file>

<file path=xl/sharedStrings.xml><?xml version="1.0" encoding="utf-8"?>
<sst xmlns="http://schemas.openxmlformats.org/spreadsheetml/2006/main" count="202" uniqueCount="161">
  <si>
    <t>🎯  Digital Agency Service Pricing Calculator</t>
  </si>
  <si>
    <t>Based on Job Costing methodology (Ms. Dawn Williams, Resilia Accounting Services)</t>
  </si>
  <si>
    <t xml:space="preserve">  HOW TO USE THIS TOOL</t>
  </si>
  <si>
    <t>STEP 1</t>
  </si>
  <si>
    <t>💰 Business Costs</t>
  </si>
  <si>
    <t>Enter all your monthly tool subscriptions (Figma, Verpex, Adobe CC, Namecheap, Fygaro) and all other indirect monthly costs (transport, utilities, insurance, etc.).</t>
  </si>
  <si>
    <t>STEP 2</t>
  </si>
  <si>
    <t>👥 Team &amp; Hours</t>
  </si>
  <si>
    <t>Enter each team member's hourly rate and how many hours per year they work — split between billable and non-billable hours.</t>
  </si>
  <si>
    <t>STEP 3</t>
  </si>
  <si>
    <t>⚙️ Overhead Rate</t>
  </si>
  <si>
    <t>Review the auto-calculated overhead cost per billable hour. This is the engine of your pricing — no manual entry needed.</t>
  </si>
  <si>
    <t>STEP 4</t>
  </si>
  <si>
    <t>🔧 Service Pricing</t>
  </si>
  <si>
    <t>For each service (Web Design, SEO, Ads, PM), enter the average hours each team member spends. Prices calculate automatically.</t>
  </si>
  <si>
    <t>STEP 5</t>
  </si>
  <si>
    <t>📊 Price Summary</t>
  </si>
  <si>
    <t>Your minimum selling prices appear here. Add your desired markup % and compare Job Costing vs Process Costing results.</t>
  </si>
  <si>
    <t xml:space="preserve">  COLOUR KEY</t>
  </si>
  <si>
    <t xml:space="preserve">  ■  </t>
  </si>
  <si>
    <t>Input cell — Enter your values here</t>
  </si>
  <si>
    <t>Calculated cell — do not edit</t>
  </si>
  <si>
    <t>Linked from another sheet — do not edit</t>
  </si>
  <si>
    <t>Section total / key result</t>
  </si>
  <si>
    <t>💰  Business Costs — Monthly Expenses</t>
  </si>
  <si>
    <t>Expense Category</t>
  </si>
  <si>
    <t>Item / Description</t>
  </si>
  <si>
    <t>Monthly Amount ($)</t>
  </si>
  <si>
    <t>Annual Amount ($)</t>
  </si>
  <si>
    <t>Notes</t>
  </si>
  <si>
    <t xml:space="preserve">  DIRECT TOOL SUBSCRIPTIONS  (costs directly tied to delivering your services)</t>
  </si>
  <si>
    <t>Design</t>
  </si>
  <si>
    <t>Figma (Professional)</t>
  </si>
  <si>
    <t>Design tool for Web &amp; UI work</t>
  </si>
  <si>
    <t>Web Hosting</t>
  </si>
  <si>
    <t>Verpex Website Hosting</t>
  </si>
  <si>
    <t>Client &amp; agency hosting</t>
  </si>
  <si>
    <t>Creative Suite</t>
  </si>
  <si>
    <t>Adobe Creative Cloud</t>
  </si>
  <si>
    <t>Photoshop, Illustrator, Premiere, etc.</t>
  </si>
  <si>
    <t>Domains</t>
  </si>
  <si>
    <t>Namecheap Domain Hosting</t>
  </si>
  <si>
    <t>Domain registrations &amp; renewals (avg/mo)</t>
  </si>
  <si>
    <t>Payments/Mgmt</t>
  </si>
  <si>
    <t>Fygaro</t>
  </si>
  <si>
    <t>Invoicing &amp; business management platform</t>
  </si>
  <si>
    <t>SUBTOTAL – Direct Tools</t>
  </si>
  <si>
    <t xml:space="preserve">  INDIRECT / OVERHEAD COSTS  (business expenses incurred regardless of jobs performed)</t>
  </si>
  <si>
    <t>Transport</t>
  </si>
  <si>
    <t>Fuel / Rideshare / Commuting</t>
  </si>
  <si>
    <t>Client visits, errands, co-working travel</t>
  </si>
  <si>
    <t>Utilities</t>
  </si>
  <si>
    <t>Electricity</t>
  </si>
  <si>
    <t>Home-office or studio electricity</t>
  </si>
  <si>
    <t>Internet &amp; Phone</t>
  </si>
  <si>
    <t>Business internet + mobile plan</t>
  </si>
  <si>
    <t>Insurance</t>
  </si>
  <si>
    <t>Professional Indemnity Insurance</t>
  </si>
  <si>
    <t>Errors &amp; omissions coverage</t>
  </si>
  <si>
    <t>Health Insurance</t>
  </si>
  <si>
    <t>Personal health coverage (business portion)</t>
  </si>
  <si>
    <t>Office</t>
  </si>
  <si>
    <t>Co-working Space / Office Rent</t>
  </si>
  <si>
    <t>If applicable; set to 0 if home office</t>
  </si>
  <si>
    <t>Banking</t>
  </si>
  <si>
    <t>Bank / Payment Processing Fees</t>
  </si>
  <si>
    <t>Wire fees, Stripe/PayPal charges, etc.</t>
  </si>
  <si>
    <t>Marketing</t>
  </si>
  <si>
    <t>Agency Marketing &amp; Ads (own brand)</t>
  </si>
  <si>
    <t>Self-promotion spend</t>
  </si>
  <si>
    <t>Professional</t>
  </si>
  <si>
    <t>Continuing Education / Courses</t>
  </si>
  <si>
    <t>Training, certifications, webinars</t>
  </si>
  <si>
    <t>Accounting / Bookkeeping</t>
  </si>
  <si>
    <t>Accountant or software fees</t>
  </si>
  <si>
    <t>Contingency</t>
  </si>
  <si>
    <t>Miscellaneous / Contingency (5% of above)</t>
  </si>
  <si>
    <t>Auto-calculated at 5%</t>
  </si>
  <si>
    <t>SUBTOTAL – Indirect / Overhead</t>
  </si>
  <si>
    <t>⭐  GRAND TOTAL – All Business Costs (excl. Labour)</t>
  </si>
  <si>
    <t>👥  Team &amp; Hours</t>
  </si>
  <si>
    <t>Role</t>
  </si>
  <si>
    <t>Name / Note</t>
  </si>
  <si>
    <t>Hourly Rate ($)</t>
  </si>
  <si>
    <t>Work Days/Year</t>
  </si>
  <si>
    <t>Daily Work Hours</t>
  </si>
  <si>
    <t>Billable %</t>
  </si>
  <si>
    <t>Annual Billable Hrs</t>
  </si>
  <si>
    <t>Annual Labour Cost ($)</t>
  </si>
  <si>
    <t>Founder / Lead Designer</t>
  </si>
  <si>
    <t>Owner</t>
  </si>
  <si>
    <t>Developer / Coder</t>
  </si>
  <si>
    <t>You or contractor</t>
  </si>
  <si>
    <t>Digital Marketing Mgr</t>
  </si>
  <si>
    <t>Project Manager</t>
  </si>
  <si>
    <t>Junior Designer</t>
  </si>
  <si>
    <t>Optional</t>
  </si>
  <si>
    <t>TOTALS</t>
  </si>
  <si>
    <t>⚙️  Overhead Rate Calculator</t>
  </si>
  <si>
    <t xml:space="preserve">  ANNUAL COST SUMMARY</t>
  </si>
  <si>
    <t>Cost Component</t>
  </si>
  <si>
    <t>Source</t>
  </si>
  <si>
    <t>Annual Labour Cost (all team)</t>
  </si>
  <si>
    <t>💰 Business Costs!D4:D…</t>
  </si>
  <si>
    <t>Sum of all team annual pay (billable hours * rate)</t>
  </si>
  <si>
    <t>Annual Tool Subscriptions</t>
  </si>
  <si>
    <t>Direct SaaS tools total</t>
  </si>
  <si>
    <t>Annual Indirect / Overhead Costs</t>
  </si>
  <si>
    <t>Transport, utilities, insurance, etc.</t>
  </si>
  <si>
    <t>⭐  TOTAL ANNUAL COSTS</t>
  </si>
  <si>
    <t xml:space="preserve">  BILLABLE HOURS SUMMARY</t>
  </si>
  <si>
    <t>Metric</t>
  </si>
  <si>
    <t>Value</t>
  </si>
  <si>
    <t>Total Annual Billable Hours (all team)</t>
  </si>
  <si>
    <t>Sum of all team billable hours per year</t>
  </si>
  <si>
    <t xml:space="preserve">  OVERHEAD RATE CALCULATION  (Formula: Total Annual Costs ÷ Total Billable Hours)</t>
  </si>
  <si>
    <t>⭐  Overhead Rate per Billable Hour ($)</t>
  </si>
  <si>
    <t>Auto-calculated</t>
  </si>
  <si>
    <t>Every billable hour must recover this amount in overhead</t>
  </si>
  <si>
    <t>🔧  Service Pricing — Job Costing Method</t>
  </si>
  <si>
    <t>🔧  Global Profit Mark-up % (applies to all services):</t>
  </si>
  <si>
    <t>#</t>
  </si>
  <si>
    <t>Team Member / Role</t>
  </si>
  <si>
    <t>Est. Hours This Job</t>
  </si>
  <si>
    <t>Direct Labour ($)</t>
  </si>
  <si>
    <t>Direct Expenses ($)</t>
  </si>
  <si>
    <t>Overhead Allocated ($)</t>
  </si>
  <si>
    <t>Total Job Cost ($)</t>
  </si>
  <si>
    <t>Min. Selling Price ($)</t>
  </si>
  <si>
    <t xml:space="preserve">  SERVICE: 1. Web Design &amp; Development  —  Per website project (avg). Adjust hours per project complexity.</t>
  </si>
  <si>
    <t>1</t>
  </si>
  <si>
    <t>2</t>
  </si>
  <si>
    <t>—</t>
  </si>
  <si>
    <t>3</t>
  </si>
  <si>
    <t>TOTALS / MIN PRICE — 1. Web Design &amp; Development</t>
  </si>
  <si>
    <t xml:space="preserve">  SERVICE: 2. Digital Marketing — SEO  —  Per month retainer. Enter monthly hours spent.</t>
  </si>
  <si>
    <t>TOTALS / MIN PRICE — 2. Digital Marketing — SEO</t>
  </si>
  <si>
    <t xml:space="preserve">  SERVICE: 3. Digital Marketing — Display &amp; Search Ads  —  Campaign setup/management per month. Ad spend not included.</t>
  </si>
  <si>
    <t>TOTALS / MIN PRICE — 3. Digital Marketing — Display &amp; Search Ads</t>
  </si>
  <si>
    <t xml:space="preserve">  SERVICE: 4. Project Management  —  Standalone PM service per project or monthly.</t>
  </si>
  <si>
    <t>TOTALS / MIN PRICE — 4. Project Management</t>
  </si>
  <si>
    <t>📊  Price Summary — Minimum Selling Prices</t>
  </si>
  <si>
    <t xml:space="preserve">  KEY INPUTS AT A GLANCE</t>
  </si>
  <si>
    <t>Overhead Rate per Billable Hour</t>
  </si>
  <si>
    <t>Total Annual Billable Hours</t>
  </si>
  <si>
    <t>Total Annual Business Costs</t>
  </si>
  <si>
    <t>Applied Profit Mark-up</t>
  </si>
  <si>
    <t xml:space="preserve">  SERVICE PRICE LIST</t>
  </si>
  <si>
    <t>Service</t>
  </si>
  <si>
    <t>Est. Hours</t>
  </si>
  <si>
    <t>Suggested Rate Note</t>
  </si>
  <si>
    <t>Web Design &amp; Development</t>
  </si>
  <si>
    <t>Per project</t>
  </si>
  <si>
    <t>Digital Marketing — SEO</t>
  </si>
  <si>
    <t>Per month retainer</t>
  </si>
  <si>
    <t>Digital Marketing — Display &amp; Search Ads</t>
  </si>
  <si>
    <t>Per month</t>
  </si>
  <si>
    <t>4</t>
  </si>
  <si>
    <t>Project Management</t>
  </si>
  <si>
    <t>Per project / month</t>
  </si>
  <si>
    <t>💡  These are MINIMUM prices. Always check competitor rates and market positioning before finalising.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</si>
</sst>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&quot;($&quot;#,##0.00\);\-"/>
    <numFmt numFmtId="165" formatCode="#,##0.0"/>
    <numFmt numFmtId="166" formatCode="0.0%"/>
  </numFmts>
  <fonts count="2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6366F1"/>
      <name val="Arial"/>
      <charset val="1"/>
    </font>
    <font>
      <sz val="10"/>
      <color rgb="FF000000"/>
      <name val="Arial"/>
      <charset val="1"/>
    </font>
    <font>
      <sz val="14"/>
      <color rgb="FF0000FF"/>
      <name val="Arial"/>
      <charset val="1"/>
    </font>
    <font>
      <sz val="14"/>
      <color rgb="FF000000"/>
      <name val="Arial"/>
      <charset val="1"/>
    </font>
    <font>
      <sz val="14"/>
      <color rgb="FF008000"/>
      <name val="Arial"/>
      <charset val="1"/>
    </font>
    <font>
      <sz val="14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0"/>
      <color rgb="FF008000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0000FF"/>
      <name val="Arial"/>
      <charset val="1"/>
    </font>
    <font>
      <b/>
      <sz val="11"/>
      <color rgb="FF008000"/>
      <name val="Arial"/>
      <charset val="1"/>
    </font>
    <font>
      <i/>
      <sz val="9"/>
      <color rgb="FF7D5A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1E2E"/>
        <bgColor rgb="FF333300"/>
      </patternFill>
    </fill>
    <fill>
      <patternFill patternType="solid">
        <fgColor rgb="FFF0F0F5"/>
        <bgColor rgb="FFEEF0FB"/>
      </patternFill>
    </fill>
    <fill>
      <patternFill patternType="solid">
        <fgColor rgb="FFF97316"/>
        <bgColor rgb="FFF59E0B"/>
      </patternFill>
    </fill>
    <fill>
      <patternFill patternType="solid">
        <fgColor rgb="FFF8F9FC"/>
        <bgColor rgb="FFFFFFFF"/>
      </patternFill>
    </fill>
    <fill>
      <patternFill patternType="solid">
        <fgColor rgb="FFFFF3CD"/>
        <bgColor rgb="FFFFF8E1"/>
      </patternFill>
    </fill>
    <fill>
      <patternFill patternType="solid">
        <fgColor rgb="FFEEF0FB"/>
        <bgColor rgb="FFF0F0F5"/>
      </patternFill>
    </fill>
    <fill>
      <patternFill patternType="solid">
        <fgColor rgb="FF6366F1"/>
        <bgColor rgb="FF808080"/>
      </patternFill>
    </fill>
    <fill>
      <patternFill patternType="solid">
        <fgColor rgb="FFFFF8E1"/>
        <bgColor rgb="FFFFF3CD"/>
      </patternFill>
    </fill>
  </fills>
  <borders count="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0" fillId="9" borderId="2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indent="1"/>
    </xf>
    <xf numFmtId="0" fontId="10" fillId="2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 indent="1"/>
    </xf>
    <xf numFmtId="164" fontId="11" fillId="6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 indent="1"/>
    </xf>
    <xf numFmtId="164" fontId="5" fillId="7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164" fontId="3" fillId="4" borderId="2" xfId="0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164" fontId="3" fillId="8" borderId="2" xfId="0" applyNumberFormat="1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164" fontId="12" fillId="2" borderId="2" xfId="0" applyNumberFormat="1" applyFont="1" applyFill="1" applyBorder="1" applyAlignment="1">
      <alignment horizontal="right" vertical="center"/>
    </xf>
    <xf numFmtId="3" fontId="11" fillId="6" borderId="2" xfId="0" applyNumberFormat="1" applyFont="1" applyFill="1" applyBorder="1" applyAlignment="1">
      <alignment horizontal="right" vertical="center"/>
    </xf>
    <xf numFmtId="165" fontId="11" fillId="6" borderId="2" xfId="0" applyNumberFormat="1" applyFont="1" applyFill="1" applyBorder="1" applyAlignment="1">
      <alignment horizontal="right" vertical="center"/>
    </xf>
    <xf numFmtId="166" fontId="11" fillId="6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165" fontId="5" fillId="7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 wrapText="1"/>
    </xf>
    <xf numFmtId="165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13" fillId="5" borderId="2" xfId="0" applyNumberFormat="1" applyFont="1" applyFill="1" applyBorder="1" applyAlignment="1">
      <alignment horizontal="right" vertical="center"/>
    </xf>
    <xf numFmtId="164" fontId="13" fillId="7" borderId="2" xfId="0" applyNumberFormat="1" applyFont="1" applyFill="1" applyBorder="1" applyAlignment="1">
      <alignment horizontal="right" vertical="center"/>
    </xf>
    <xf numFmtId="165" fontId="13" fillId="5" borderId="2" xfId="0" applyNumberFormat="1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 wrapText="1"/>
    </xf>
    <xf numFmtId="164" fontId="15" fillId="4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left" vertical="center" wrapText="1"/>
    </xf>
    <xf numFmtId="166" fontId="18" fillId="6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5" fillId="7" borderId="2" xfId="0" applyFont="1" applyFill="1" applyBorder="1" applyAlignment="1">
      <alignment horizontal="center"/>
    </xf>
    <xf numFmtId="0" fontId="0" fillId="7" borderId="2" xfId="0" applyFill="1" applyBorder="1"/>
    <xf numFmtId="0" fontId="5" fillId="5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 vertical="center" wrapText="1"/>
    </xf>
    <xf numFmtId="165" fontId="3" fillId="4" borderId="2" xfId="0" applyNumberFormat="1" applyFont="1" applyFill="1" applyBorder="1" applyAlignment="1">
      <alignment horizontal="right" vertical="center"/>
    </xf>
    <xf numFmtId="164" fontId="14" fillId="4" borderId="2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left" vertical="center" wrapText="1"/>
    </xf>
    <xf numFmtId="164" fontId="19" fillId="5" borderId="2" xfId="0" applyNumberFormat="1" applyFont="1" applyFill="1" applyBorder="1" applyAlignment="1">
      <alignment horizontal="right" vertical="center"/>
    </xf>
    <xf numFmtId="0" fontId="17" fillId="7" borderId="2" xfId="0" applyFont="1" applyFill="1" applyBorder="1" applyAlignment="1">
      <alignment horizontal="left" vertical="center" wrapText="1"/>
    </xf>
    <xf numFmtId="165" fontId="19" fillId="7" borderId="2" xfId="0" applyNumberFormat="1" applyFont="1" applyFill="1" applyBorder="1" applyAlignment="1">
      <alignment horizontal="right" vertical="center"/>
    </xf>
    <xf numFmtId="166" fontId="19" fillId="7" borderId="2" xfId="0" applyNumberFormat="1" applyFont="1" applyFill="1" applyBorder="1" applyAlignment="1">
      <alignment horizontal="right" vertical="center"/>
    </xf>
    <xf numFmtId="165" fontId="13" fillId="7" borderId="2" xfId="0" applyNumberFormat="1" applyFont="1" applyFill="1" applyBorder="1" applyAlignment="1">
      <alignment horizontal="right" vertical="center"/>
    </xf>
    <xf numFmtId="164" fontId="19" fillId="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080"/>
      <rgbColor rgb="FFC0C0C0"/>
      <rgbColor rgb="FF808080"/>
      <rgbColor rgb="FF9999FF"/>
      <rgbColor rgb="FF993366"/>
      <rgbColor rgb="FFFFF8E1"/>
      <rgbColor rgb="FFEEF0FB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0F0F5"/>
      <rgbColor rgb="FFF8F9FC"/>
      <rgbColor rgb="FFFFF3CD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59E0B"/>
      <rgbColor rgb="FFF97316"/>
      <rgbColor rgb="FF555555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E1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1E2E"/>
  </sheetPr>
  <dimension ref="A1:F15"/>
  <sheetViews>
    <sheetView showGridLines="0" zoomScaleNormal="100" workbookViewId="0"/>
  </sheetViews>
  <sheetFormatPr defaultColWidth="8.7109375" defaultRowHeight="15"/>
  <cols>
    <col min="1" max="1" width="12" customWidth="1"/>
    <col min="2" max="2" width="24" customWidth="1"/>
    <col min="3" max="6" width="20" customWidth="1"/>
  </cols>
  <sheetData>
    <row r="1" spans="1:6" ht="49.5" customHeight="1">
      <c r="A1" s="11" t="s">
        <v>0</v>
      </c>
      <c r="B1" s="11"/>
      <c r="C1" s="11"/>
      <c r="D1" s="11"/>
      <c r="E1" s="11"/>
      <c r="F1" s="11"/>
    </row>
    <row r="2" spans="1:6">
      <c r="A2" s="10" t="s">
        <v>1</v>
      </c>
      <c r="B2" s="10"/>
      <c r="C2" s="10"/>
      <c r="D2" s="10"/>
      <c r="E2" s="10"/>
      <c r="F2" s="10"/>
    </row>
    <row r="3" spans="1:6" ht="9.75" customHeight="1"/>
    <row r="4" spans="1:6">
      <c r="A4" s="9" t="s">
        <v>2</v>
      </c>
      <c r="B4" s="9"/>
      <c r="C4" s="9"/>
      <c r="D4" s="9"/>
      <c r="E4" s="9"/>
      <c r="F4" s="9"/>
    </row>
    <row r="5" spans="1:6" ht="45" customHeight="1">
      <c r="A5" s="12" t="s">
        <v>3</v>
      </c>
      <c r="B5" s="13" t="s">
        <v>4</v>
      </c>
      <c r="C5" s="8" t="s">
        <v>5</v>
      </c>
      <c r="D5" s="8"/>
      <c r="E5" s="8"/>
      <c r="F5" s="8"/>
    </row>
    <row r="6" spans="1:6" ht="45" customHeight="1">
      <c r="A6" s="12" t="s">
        <v>6</v>
      </c>
      <c r="B6" s="13" t="s">
        <v>7</v>
      </c>
      <c r="C6" s="8" t="s">
        <v>8</v>
      </c>
      <c r="D6" s="8"/>
      <c r="E6" s="8"/>
      <c r="F6" s="8"/>
    </row>
    <row r="7" spans="1:6" ht="45" customHeight="1">
      <c r="A7" s="12" t="s">
        <v>9</v>
      </c>
      <c r="B7" s="13" t="s">
        <v>10</v>
      </c>
      <c r="C7" s="8" t="s">
        <v>11</v>
      </c>
      <c r="D7" s="8"/>
      <c r="E7" s="8"/>
      <c r="F7" s="8"/>
    </row>
    <row r="8" spans="1:6" ht="45" customHeight="1">
      <c r="A8" s="12" t="s">
        <v>12</v>
      </c>
      <c r="B8" s="13" t="s">
        <v>13</v>
      </c>
      <c r="C8" s="8" t="s">
        <v>14</v>
      </c>
      <c r="D8" s="8"/>
      <c r="E8" s="8"/>
      <c r="F8" s="8"/>
    </row>
    <row r="9" spans="1:6" ht="45" customHeight="1">
      <c r="A9" s="12" t="s">
        <v>15</v>
      </c>
      <c r="B9" s="13" t="s">
        <v>16</v>
      </c>
      <c r="C9" s="8" t="s">
        <v>17</v>
      </c>
      <c r="D9" s="8"/>
      <c r="E9" s="8"/>
      <c r="F9" s="8"/>
    </row>
    <row r="11" spans="1:6">
      <c r="A11" s="9" t="s">
        <v>18</v>
      </c>
      <c r="B11" s="9"/>
      <c r="C11" s="9"/>
      <c r="D11" s="9"/>
      <c r="E11" s="9"/>
      <c r="F11" s="9"/>
    </row>
    <row r="12" spans="1:6" ht="21.75" customHeight="1">
      <c r="A12" s="14" t="s">
        <v>19</v>
      </c>
      <c r="B12" s="7" t="s">
        <v>20</v>
      </c>
      <c r="C12" s="7"/>
      <c r="D12" s="7"/>
      <c r="E12" s="7"/>
      <c r="F12" s="7"/>
    </row>
    <row r="13" spans="1:6" ht="21.75" customHeight="1">
      <c r="A13" s="15" t="s">
        <v>19</v>
      </c>
      <c r="B13" s="7" t="s">
        <v>21</v>
      </c>
      <c r="C13" s="7"/>
      <c r="D13" s="7"/>
      <c r="E13" s="7"/>
      <c r="F13" s="7"/>
    </row>
    <row r="14" spans="1:6" ht="21.75" customHeight="1">
      <c r="A14" s="16" t="s">
        <v>19</v>
      </c>
      <c r="B14" s="7" t="s">
        <v>22</v>
      </c>
      <c r="C14" s="7"/>
      <c r="D14" s="7"/>
      <c r="E14" s="7"/>
      <c r="F14" s="7"/>
    </row>
    <row r="15" spans="1:6" ht="21.75" customHeight="1">
      <c r="A15" s="17" t="s">
        <v>19</v>
      </c>
      <c r="B15" s="7" t="s">
        <v>23</v>
      </c>
      <c r="C15" s="7"/>
      <c r="D15" s="7"/>
      <c r="E15" s="7"/>
      <c r="F15" s="7"/>
    </row>
  </sheetData>
  <mergeCells count="13">
    <mergeCell ref="B13:F13"/>
    <mergeCell ref="B14:F14"/>
    <mergeCell ref="B15:F15"/>
    <mergeCell ref="C7:F7"/>
    <mergeCell ref="C8:F8"/>
    <mergeCell ref="C9:F9"/>
    <mergeCell ref="A11:F11"/>
    <mergeCell ref="B12:F12"/>
    <mergeCell ref="A1:F1"/>
    <mergeCell ref="A2:F2"/>
    <mergeCell ref="A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7316"/>
  </sheetPr>
  <dimension ref="A1:E25"/>
  <sheetViews>
    <sheetView showGridLines="0" zoomScaleNormal="100" workbookViewId="0">
      <pane ySplit="2" topLeftCell="A9" activePane="bottomLeft" state="frozen"/>
      <selection pane="bottomLeft" activeCell="G15" sqref="G15"/>
    </sheetView>
  </sheetViews>
  <sheetFormatPr defaultColWidth="8.7109375" defaultRowHeight="15"/>
  <cols>
    <col min="1" max="1" width="22" customWidth="1"/>
    <col min="2" max="2" width="40" customWidth="1"/>
    <col min="3" max="4" width="22" customWidth="1"/>
    <col min="5" max="5" width="35" customWidth="1"/>
  </cols>
  <sheetData>
    <row r="1" spans="1:5" ht="39.75" customHeight="1">
      <c r="A1" s="6" t="s">
        <v>24</v>
      </c>
      <c r="B1" s="6"/>
      <c r="C1" s="6"/>
      <c r="D1" s="6"/>
      <c r="E1" s="6"/>
    </row>
    <row r="2" spans="1:5" ht="30" customHeight="1">
      <c r="A2" s="18" t="s">
        <v>25</v>
      </c>
      <c r="B2" s="18" t="s">
        <v>26</v>
      </c>
      <c r="C2" s="18" t="s">
        <v>27</v>
      </c>
      <c r="D2" s="18" t="s">
        <v>28</v>
      </c>
      <c r="E2" s="18" t="s">
        <v>29</v>
      </c>
    </row>
    <row r="3" spans="1:5">
      <c r="A3" s="5" t="s">
        <v>30</v>
      </c>
      <c r="B3" s="5"/>
      <c r="C3" s="5"/>
      <c r="D3" s="5"/>
      <c r="E3" s="5"/>
    </row>
    <row r="4" spans="1:5" ht="21.75" customHeight="1">
      <c r="A4" s="19" t="s">
        <v>31</v>
      </c>
      <c r="B4" s="20" t="s">
        <v>32</v>
      </c>
      <c r="C4" s="21">
        <v>40.799999999999997</v>
      </c>
      <c r="D4" s="22">
        <f>C4*12</f>
        <v>489.59999999999997</v>
      </c>
      <c r="E4" s="19" t="s">
        <v>33</v>
      </c>
    </row>
    <row r="5" spans="1:5" ht="21.75" customHeight="1">
      <c r="A5" s="23" t="s">
        <v>34</v>
      </c>
      <c r="B5" s="24" t="s">
        <v>35</v>
      </c>
      <c r="C5" s="21">
        <v>61.9</v>
      </c>
      <c r="D5" s="25">
        <f>C5*12</f>
        <v>742.8</v>
      </c>
      <c r="E5" s="23" t="s">
        <v>36</v>
      </c>
    </row>
    <row r="6" spans="1:5" ht="21.75" customHeight="1">
      <c r="A6" s="19" t="s">
        <v>37</v>
      </c>
      <c r="B6" s="20" t="s">
        <v>38</v>
      </c>
      <c r="C6" s="21">
        <v>61.2</v>
      </c>
      <c r="D6" s="22">
        <f>C6*12</f>
        <v>734.40000000000009</v>
      </c>
      <c r="E6" s="19" t="s">
        <v>39</v>
      </c>
    </row>
    <row r="7" spans="1:5" ht="32.25" customHeight="1">
      <c r="A7" s="23" t="s">
        <v>40</v>
      </c>
      <c r="B7" s="24" t="s">
        <v>41</v>
      </c>
      <c r="C7" s="21">
        <v>5</v>
      </c>
      <c r="D7" s="25">
        <f>C7*12</f>
        <v>60</v>
      </c>
      <c r="E7" s="23" t="s">
        <v>42</v>
      </c>
    </row>
    <row r="8" spans="1:5" ht="28.5" customHeight="1">
      <c r="A8" s="19" t="s">
        <v>43</v>
      </c>
      <c r="B8" s="20" t="s">
        <v>44</v>
      </c>
      <c r="C8" s="21">
        <v>30.58</v>
      </c>
      <c r="D8" s="22">
        <f>C8*12</f>
        <v>366.96</v>
      </c>
      <c r="E8" s="19" t="s">
        <v>45</v>
      </c>
    </row>
    <row r="9" spans="1:5" ht="24" customHeight="1">
      <c r="A9" s="26" t="s">
        <v>46</v>
      </c>
      <c r="B9" s="27"/>
      <c r="C9" s="28">
        <f>SUM(C4:C8)</f>
        <v>199.47999999999996</v>
      </c>
      <c r="D9" s="28">
        <f>SUM(D4:D8)</f>
        <v>2393.7599999999998</v>
      </c>
      <c r="E9" s="27"/>
    </row>
    <row r="11" spans="1:5">
      <c r="A11" s="5" t="s">
        <v>47</v>
      </c>
      <c r="B11" s="5"/>
      <c r="C11" s="5"/>
      <c r="D11" s="5"/>
      <c r="E11" s="5"/>
    </row>
    <row r="12" spans="1:5" ht="21.75" customHeight="1">
      <c r="A12" s="19" t="s">
        <v>48</v>
      </c>
      <c r="B12" s="20" t="s">
        <v>49</v>
      </c>
      <c r="C12" s="21">
        <v>140</v>
      </c>
      <c r="D12" s="22">
        <f>C12*12</f>
        <v>1680</v>
      </c>
      <c r="E12" s="19" t="s">
        <v>50</v>
      </c>
    </row>
    <row r="13" spans="1:5" ht="21.75" customHeight="1">
      <c r="A13" s="23" t="s">
        <v>51</v>
      </c>
      <c r="B13" s="24" t="s">
        <v>52</v>
      </c>
      <c r="C13" s="21">
        <v>60</v>
      </c>
      <c r="D13" s="25">
        <f>C13*12</f>
        <v>720</v>
      </c>
      <c r="E13" s="23" t="s">
        <v>53</v>
      </c>
    </row>
    <row r="14" spans="1:5" ht="21.75" customHeight="1">
      <c r="A14" s="19" t="s">
        <v>51</v>
      </c>
      <c r="B14" s="20" t="s">
        <v>54</v>
      </c>
      <c r="C14" s="21">
        <v>157</v>
      </c>
      <c r="D14" s="22">
        <f>C14*12</f>
        <v>1884</v>
      </c>
      <c r="E14" s="19" t="s">
        <v>55</v>
      </c>
    </row>
    <row r="15" spans="1:5" ht="21.75" customHeight="1">
      <c r="A15" s="23" t="s">
        <v>56</v>
      </c>
      <c r="B15" s="24" t="s">
        <v>57</v>
      </c>
      <c r="C15" s="21">
        <v>0</v>
      </c>
      <c r="D15" s="25">
        <f>C15*12</f>
        <v>0</v>
      </c>
      <c r="E15" s="23" t="s">
        <v>58</v>
      </c>
    </row>
    <row r="16" spans="1:5" ht="21.75" customHeight="1">
      <c r="A16" s="19" t="s">
        <v>56</v>
      </c>
      <c r="B16" s="20" t="s">
        <v>59</v>
      </c>
      <c r="C16" s="21">
        <v>200</v>
      </c>
      <c r="D16" s="22">
        <f>C16*12</f>
        <v>2400</v>
      </c>
      <c r="E16" s="19" t="s">
        <v>60</v>
      </c>
    </row>
    <row r="17" spans="1:5" ht="21.75" customHeight="1">
      <c r="A17" s="23" t="s">
        <v>61</v>
      </c>
      <c r="B17" s="24" t="s">
        <v>62</v>
      </c>
      <c r="C17" s="21">
        <v>30</v>
      </c>
      <c r="D17" s="25">
        <f>C17*12</f>
        <v>360</v>
      </c>
      <c r="E17" s="23" t="s">
        <v>63</v>
      </c>
    </row>
    <row r="18" spans="1:5" ht="21.75" customHeight="1">
      <c r="A18" s="19" t="s">
        <v>64</v>
      </c>
      <c r="B18" s="20" t="s">
        <v>65</v>
      </c>
      <c r="C18" s="21">
        <v>0</v>
      </c>
      <c r="D18" s="22">
        <f>C18*12</f>
        <v>0</v>
      </c>
      <c r="E18" s="19" t="s">
        <v>66</v>
      </c>
    </row>
    <row r="19" spans="1:5" ht="21.75" customHeight="1">
      <c r="A19" s="23" t="s">
        <v>67</v>
      </c>
      <c r="B19" s="24" t="s">
        <v>68</v>
      </c>
      <c r="C19" s="21">
        <v>500</v>
      </c>
      <c r="D19" s="25">
        <f>C19*12</f>
        <v>6000</v>
      </c>
      <c r="E19" s="23" t="s">
        <v>69</v>
      </c>
    </row>
    <row r="20" spans="1:5" ht="21.75" customHeight="1">
      <c r="A20" s="19" t="s">
        <v>70</v>
      </c>
      <c r="B20" s="20" t="s">
        <v>71</v>
      </c>
      <c r="C20" s="21">
        <v>0</v>
      </c>
      <c r="D20" s="22">
        <f>C20*12</f>
        <v>0</v>
      </c>
      <c r="E20" s="19" t="s">
        <v>72</v>
      </c>
    </row>
    <row r="21" spans="1:5" ht="21.75" customHeight="1">
      <c r="A21" s="23" t="s">
        <v>70</v>
      </c>
      <c r="B21" s="24" t="s">
        <v>73</v>
      </c>
      <c r="C21" s="21">
        <v>0</v>
      </c>
      <c r="D21" s="25">
        <f>C21*12</f>
        <v>0</v>
      </c>
      <c r="E21" s="23" t="s">
        <v>74</v>
      </c>
    </row>
    <row r="22" spans="1:5" ht="21.75" customHeight="1">
      <c r="A22" s="19" t="s">
        <v>75</v>
      </c>
      <c r="B22" s="20" t="s">
        <v>76</v>
      </c>
      <c r="C22" s="22">
        <f>SUM(C12:C21)*0.05</f>
        <v>54.35</v>
      </c>
      <c r="D22" s="22">
        <f>C22*12</f>
        <v>652.20000000000005</v>
      </c>
      <c r="E22" s="19" t="s">
        <v>77</v>
      </c>
    </row>
    <row r="23" spans="1:5" ht="24" customHeight="1">
      <c r="A23" s="29" t="s">
        <v>78</v>
      </c>
      <c r="B23" s="30"/>
      <c r="C23" s="31">
        <f>SUM(C12:C22)</f>
        <v>1141.3499999999999</v>
      </c>
      <c r="D23" s="31">
        <f>SUM(D12:D22)</f>
        <v>13696.2</v>
      </c>
      <c r="E23" s="30"/>
    </row>
    <row r="25" spans="1:5" ht="47.25" customHeight="1">
      <c r="A25" s="32" t="s">
        <v>79</v>
      </c>
      <c r="B25" s="33"/>
      <c r="C25" s="34">
        <f>C9+C23</f>
        <v>1340.83</v>
      </c>
      <c r="D25" s="34">
        <f>D9+D23</f>
        <v>16089.960000000001</v>
      </c>
      <c r="E25" s="33"/>
    </row>
  </sheetData>
  <mergeCells count="3">
    <mergeCell ref="A1:E1"/>
    <mergeCell ref="A3:E3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366F1"/>
  </sheetPr>
  <dimension ref="A1:H8"/>
  <sheetViews>
    <sheetView showGridLines="0" zoomScaleNormal="100" workbookViewId="0">
      <pane ySplit="2" topLeftCell="A3" activePane="bottomLeft" state="frozen"/>
      <selection pane="bottomLeft" activeCell="C5" sqref="C5"/>
    </sheetView>
  </sheetViews>
  <sheetFormatPr defaultColWidth="8.7109375" defaultRowHeight="15"/>
  <cols>
    <col min="1" max="1" width="28" customWidth="1"/>
    <col min="2" max="2" width="26" customWidth="1"/>
    <col min="3" max="3" width="18" customWidth="1"/>
    <col min="4" max="4" width="16" customWidth="1"/>
    <col min="5" max="5" width="17" customWidth="1"/>
    <col min="6" max="6" width="14" customWidth="1"/>
    <col min="7" max="7" width="20" customWidth="1"/>
    <col min="8" max="8" width="24" customWidth="1"/>
  </cols>
  <sheetData>
    <row r="1" spans="1:8" ht="39.75" customHeight="1">
      <c r="A1" s="6" t="s">
        <v>80</v>
      </c>
      <c r="B1" s="6"/>
      <c r="C1" s="6"/>
      <c r="D1" s="6"/>
      <c r="E1" s="6"/>
      <c r="F1" s="6"/>
      <c r="G1" s="6"/>
      <c r="H1" s="6"/>
    </row>
    <row r="2" spans="1:8" ht="30" customHeight="1">
      <c r="A2" s="18" t="s">
        <v>81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86</v>
      </c>
      <c r="G2" s="18" t="s">
        <v>87</v>
      </c>
      <c r="H2" s="18" t="s">
        <v>88</v>
      </c>
    </row>
    <row r="3" spans="1:8" ht="21.75" customHeight="1">
      <c r="A3" s="19" t="s">
        <v>89</v>
      </c>
      <c r="B3" s="20" t="s">
        <v>90</v>
      </c>
      <c r="C3" s="21">
        <v>100</v>
      </c>
      <c r="D3" s="35">
        <v>220</v>
      </c>
      <c r="E3" s="36">
        <v>6</v>
      </c>
      <c r="F3" s="37">
        <v>0.7</v>
      </c>
      <c r="G3" s="38">
        <f>D3*E3*F3</f>
        <v>923.99999999999989</v>
      </c>
      <c r="H3" s="22">
        <f>G3*C3</f>
        <v>92399.999999999985</v>
      </c>
    </row>
    <row r="4" spans="1:8" ht="21.75" customHeight="1">
      <c r="A4" s="23" t="s">
        <v>91</v>
      </c>
      <c r="B4" s="24" t="s">
        <v>92</v>
      </c>
      <c r="C4" s="21">
        <v>120</v>
      </c>
      <c r="D4" s="35">
        <v>220</v>
      </c>
      <c r="E4" s="36">
        <v>6</v>
      </c>
      <c r="F4" s="37">
        <v>0.75</v>
      </c>
      <c r="G4" s="39">
        <f>D4*E4*F4</f>
        <v>990</v>
      </c>
      <c r="H4" s="25">
        <f>G4*C4</f>
        <v>118800</v>
      </c>
    </row>
    <row r="5" spans="1:8" ht="21.75" customHeight="1">
      <c r="A5" s="19" t="s">
        <v>93</v>
      </c>
      <c r="B5" s="20" t="s">
        <v>92</v>
      </c>
      <c r="C5" s="21">
        <v>60</v>
      </c>
      <c r="D5" s="35">
        <v>220</v>
      </c>
      <c r="E5" s="36">
        <v>5</v>
      </c>
      <c r="F5" s="37">
        <v>0.8</v>
      </c>
      <c r="G5" s="38">
        <f>D5*E5*F5</f>
        <v>880</v>
      </c>
      <c r="H5" s="22">
        <f>G5*C5</f>
        <v>52800</v>
      </c>
    </row>
    <row r="6" spans="1:8" ht="21.75" customHeight="1">
      <c r="A6" s="23" t="s">
        <v>94</v>
      </c>
      <c r="B6" s="24" t="s">
        <v>92</v>
      </c>
      <c r="C6" s="21">
        <v>60</v>
      </c>
      <c r="D6" s="35">
        <v>220</v>
      </c>
      <c r="E6" s="36">
        <v>4</v>
      </c>
      <c r="F6" s="37">
        <v>0.75</v>
      </c>
      <c r="G6" s="39">
        <f>D6*E6*F6</f>
        <v>660</v>
      </c>
      <c r="H6" s="25">
        <f>G6*C6</f>
        <v>39600</v>
      </c>
    </row>
    <row r="7" spans="1:8" ht="21.75" customHeight="1">
      <c r="A7" s="19" t="s">
        <v>95</v>
      </c>
      <c r="B7" s="20" t="s">
        <v>96</v>
      </c>
      <c r="C7" s="21">
        <v>20</v>
      </c>
      <c r="D7" s="35">
        <v>220</v>
      </c>
      <c r="E7" s="36">
        <v>8</v>
      </c>
      <c r="F7" s="37">
        <v>0.8</v>
      </c>
      <c r="G7" s="38">
        <f>D7*E7*F7</f>
        <v>1408</v>
      </c>
      <c r="H7" s="22">
        <f>G7*C7</f>
        <v>28160</v>
      </c>
    </row>
    <row r="8" spans="1:8" ht="25.5" customHeight="1">
      <c r="A8" s="40" t="s">
        <v>97</v>
      </c>
      <c r="B8" s="33"/>
      <c r="C8" s="33"/>
      <c r="D8" s="33"/>
      <c r="E8" s="33"/>
      <c r="F8" s="33"/>
      <c r="G8" s="41">
        <f>SUM(G3:G7)</f>
        <v>4862</v>
      </c>
      <c r="H8" s="42">
        <f>SUM(H3:H7)</f>
        <v>331760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6B6D4"/>
  </sheetPr>
  <dimension ref="A1:D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42" customWidth="1"/>
    <col min="2" max="2" width="22" customWidth="1"/>
    <col min="3" max="3" width="26" customWidth="1"/>
    <col min="4" max="4" width="48" customWidth="1"/>
  </cols>
  <sheetData>
    <row r="1" spans="1:4" ht="39.75" customHeight="1">
      <c r="A1" s="6" t="s">
        <v>98</v>
      </c>
      <c r="B1" s="6"/>
      <c r="C1" s="6"/>
      <c r="D1" s="6"/>
    </row>
    <row r="2" spans="1:4">
      <c r="A2" s="5" t="s">
        <v>99</v>
      </c>
      <c r="B2" s="5"/>
      <c r="C2" s="5"/>
      <c r="D2" s="5"/>
    </row>
    <row r="3" spans="1:4" ht="21.75" customHeight="1">
      <c r="A3" s="18" t="s">
        <v>100</v>
      </c>
      <c r="B3" s="18" t="s">
        <v>28</v>
      </c>
      <c r="C3" s="18" t="s">
        <v>101</v>
      </c>
      <c r="D3" s="18" t="s">
        <v>29</v>
      </c>
    </row>
    <row r="4" spans="1:4" ht="21.75" customHeight="1">
      <c r="A4" s="19" t="s">
        <v>102</v>
      </c>
      <c r="B4" s="43">
        <f>'👥 Team &amp; Hours'!H8</f>
        <v>331760</v>
      </c>
      <c r="C4" s="19" t="s">
        <v>103</v>
      </c>
      <c r="D4" s="19" t="s">
        <v>104</v>
      </c>
    </row>
    <row r="5" spans="1:4" ht="21.75" customHeight="1">
      <c r="A5" s="23" t="s">
        <v>105</v>
      </c>
      <c r="B5" s="44">
        <f>'💰 Business Costs'!D9</f>
        <v>2393.7599999999998</v>
      </c>
      <c r="C5" s="23" t="s">
        <v>4</v>
      </c>
      <c r="D5" s="23" t="s">
        <v>106</v>
      </c>
    </row>
    <row r="6" spans="1:4" ht="21.75" customHeight="1">
      <c r="A6" s="19" t="s">
        <v>107</v>
      </c>
      <c r="B6" s="43">
        <f>'💰 Business Costs'!D23</f>
        <v>13696.2</v>
      </c>
      <c r="C6" s="19" t="s">
        <v>4</v>
      </c>
      <c r="D6" s="19" t="s">
        <v>108</v>
      </c>
    </row>
    <row r="7" spans="1:4" ht="25.5" customHeight="1">
      <c r="A7" s="32" t="s">
        <v>109</v>
      </c>
      <c r="B7" s="34">
        <f>SUM(B4:B6)</f>
        <v>347849.96</v>
      </c>
      <c r="C7" s="33"/>
      <c r="D7" s="33"/>
    </row>
    <row r="9" spans="1:4">
      <c r="A9" s="5" t="s">
        <v>110</v>
      </c>
      <c r="B9" s="5"/>
      <c r="C9" s="5"/>
      <c r="D9" s="5"/>
    </row>
    <row r="10" spans="1:4" ht="21.75" customHeight="1">
      <c r="A10" s="18" t="s">
        <v>111</v>
      </c>
      <c r="B10" s="18" t="s">
        <v>112</v>
      </c>
      <c r="C10" s="18" t="s">
        <v>101</v>
      </c>
      <c r="D10" s="18" t="s">
        <v>29</v>
      </c>
    </row>
    <row r="11" spans="1:4" ht="21.75" customHeight="1">
      <c r="A11" s="19" t="s">
        <v>113</v>
      </c>
      <c r="B11" s="45">
        <f>'👥 Team &amp; Hours'!G8</f>
        <v>4862</v>
      </c>
      <c r="C11" s="19" t="s">
        <v>7</v>
      </c>
      <c r="D11" s="19" t="s">
        <v>114</v>
      </c>
    </row>
    <row r="13" spans="1:4">
      <c r="A13" s="5" t="s">
        <v>115</v>
      </c>
      <c r="B13" s="5"/>
      <c r="C13" s="5"/>
      <c r="D13" s="5"/>
    </row>
    <row r="14" spans="1:4" ht="30" customHeight="1">
      <c r="A14" s="46" t="s">
        <v>116</v>
      </c>
      <c r="B14" s="47">
        <f>IF(B11&gt;0,B7/B11,0)</f>
        <v>71.544623611682439</v>
      </c>
      <c r="C14" s="48" t="s">
        <v>117</v>
      </c>
      <c r="D14" s="48" t="s">
        <v>118</v>
      </c>
    </row>
  </sheetData>
  <mergeCells count="4">
    <mergeCell ref="A1:D1"/>
    <mergeCell ref="A2:D2"/>
    <mergeCell ref="A9:D9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0B981"/>
  </sheetPr>
  <dimension ref="A1:I26"/>
  <sheetViews>
    <sheetView showGridLines="0" tabSelected="1" zoomScaleNormal="100" workbookViewId="0">
      <pane ySplit="5" topLeftCell="A6" activePane="bottomLeft" state="frozen"/>
      <selection pane="bottomLeft" activeCell="H14" sqref="H14"/>
    </sheetView>
  </sheetViews>
  <sheetFormatPr defaultColWidth="8.7109375" defaultRowHeight="15"/>
  <cols>
    <col min="1" max="1" width="5" customWidth="1"/>
    <col min="2" max="2" width="36" customWidth="1"/>
    <col min="3" max="3" width="16" customWidth="1"/>
    <col min="4" max="4" width="20" customWidth="1"/>
    <col min="5" max="6" width="18" customWidth="1"/>
    <col min="7" max="7" width="22" customWidth="1"/>
    <col min="8" max="8" width="20" customWidth="1"/>
    <col min="9" max="9" width="22" customWidth="1"/>
  </cols>
  <sheetData>
    <row r="1" spans="1:9" ht="39.75" customHeight="1">
      <c r="A1" s="6" t="s">
        <v>119</v>
      </c>
      <c r="B1" s="6"/>
      <c r="C1" s="6"/>
      <c r="D1" s="6"/>
      <c r="E1" s="6"/>
      <c r="F1" s="6"/>
      <c r="G1" s="6"/>
      <c r="H1" s="6"/>
      <c r="I1" s="6"/>
    </row>
    <row r="2" spans="1:9" ht="7.5" customHeight="1"/>
    <row r="3" spans="1:9" ht="27.75" customHeight="1">
      <c r="A3" s="4" t="s">
        <v>120</v>
      </c>
      <c r="B3" s="4"/>
      <c r="C3" s="4"/>
      <c r="D3" s="49">
        <v>0.35</v>
      </c>
      <c r="E3" s="50"/>
      <c r="F3" s="50"/>
      <c r="G3" s="50"/>
      <c r="H3" s="50"/>
      <c r="I3" s="50"/>
    </row>
    <row r="4" spans="1:9" ht="7.5" customHeight="1"/>
    <row r="5" spans="1:9" ht="30" customHeight="1">
      <c r="A5" s="18" t="s">
        <v>121</v>
      </c>
      <c r="B5" s="18" t="s">
        <v>122</v>
      </c>
      <c r="C5" s="18" t="s">
        <v>83</v>
      </c>
      <c r="D5" s="18" t="s">
        <v>123</v>
      </c>
      <c r="E5" s="18" t="s">
        <v>124</v>
      </c>
      <c r="F5" s="18" t="s">
        <v>125</v>
      </c>
      <c r="G5" s="18" t="s">
        <v>126</v>
      </c>
      <c r="H5" s="18" t="s">
        <v>127</v>
      </c>
      <c r="I5" s="18" t="s">
        <v>128</v>
      </c>
    </row>
    <row r="7" spans="1:9">
      <c r="A7" s="9" t="s">
        <v>129</v>
      </c>
      <c r="B7" s="9"/>
      <c r="C7" s="9"/>
      <c r="D7" s="9"/>
      <c r="E7" s="9"/>
      <c r="F7" s="9"/>
      <c r="G7" s="9"/>
      <c r="H7" s="9"/>
      <c r="I7" s="9"/>
    </row>
    <row r="8" spans="1:9" ht="21.75" customHeight="1">
      <c r="A8" s="19" t="s">
        <v>130</v>
      </c>
      <c r="B8" s="20" t="s">
        <v>89</v>
      </c>
      <c r="C8" s="43">
        <f>'👥 Team &amp; Hours'!C3</f>
        <v>100</v>
      </c>
      <c r="D8" s="36">
        <v>0</v>
      </c>
      <c r="E8" s="22">
        <f>C8*D8</f>
        <v>0</v>
      </c>
      <c r="F8" s="21">
        <v>0</v>
      </c>
      <c r="G8" s="22">
        <f>D8*'⚙️ Overhead Rate'!B14</f>
        <v>0</v>
      </c>
      <c r="H8" s="50"/>
      <c r="I8" s="50"/>
    </row>
    <row r="9" spans="1:9" ht="21.75" customHeight="1">
      <c r="A9" s="23" t="s">
        <v>131</v>
      </c>
      <c r="B9" s="24" t="s">
        <v>91</v>
      </c>
      <c r="C9" s="44">
        <f>'👥 Team &amp; Hours'!C4</f>
        <v>120</v>
      </c>
      <c r="D9" s="36">
        <v>20</v>
      </c>
      <c r="E9" s="25">
        <f>C9*D9</f>
        <v>2400</v>
      </c>
      <c r="F9" s="51" t="s">
        <v>132</v>
      </c>
      <c r="G9" s="25">
        <f>D9*'⚙️ Overhead Rate'!B14</f>
        <v>1430.8924722336487</v>
      </c>
      <c r="H9" s="52"/>
      <c r="I9" s="52"/>
    </row>
    <row r="10" spans="1:9" ht="21.75" customHeight="1">
      <c r="A10" s="19" t="s">
        <v>133</v>
      </c>
      <c r="B10" s="20" t="s">
        <v>94</v>
      </c>
      <c r="C10" s="43">
        <f>'👥 Team &amp; Hours'!C6</f>
        <v>60</v>
      </c>
      <c r="D10" s="36">
        <v>0</v>
      </c>
      <c r="E10" s="22">
        <f>C10*D10</f>
        <v>0</v>
      </c>
      <c r="F10" s="53" t="s">
        <v>132</v>
      </c>
      <c r="G10" s="22">
        <f>D10*'⚙️ Overhead Rate'!B14</f>
        <v>0</v>
      </c>
      <c r="H10" s="50"/>
      <c r="I10" s="50"/>
    </row>
    <row r="11" spans="1:9" ht="25.5" customHeight="1">
      <c r="A11" s="54"/>
      <c r="B11" s="26" t="s">
        <v>134</v>
      </c>
      <c r="C11" s="54"/>
      <c r="D11" s="55">
        <f>SUM(D8:D10)</f>
        <v>20</v>
      </c>
      <c r="E11" s="28">
        <f>SUM(E8:E10)</f>
        <v>2400</v>
      </c>
      <c r="F11" s="28">
        <f>F8</f>
        <v>0</v>
      </c>
      <c r="G11" s="28">
        <f>SUM(G8:G10)</f>
        <v>1430.8924722336487</v>
      </c>
      <c r="H11" s="28">
        <f>E11+F11+G11</f>
        <v>3830.8924722336487</v>
      </c>
      <c r="I11" s="56">
        <f>H11*(1+D3)</f>
        <v>5171.7048375154263</v>
      </c>
    </row>
    <row r="13" spans="1:9">
      <c r="A13" s="9" t="s">
        <v>135</v>
      </c>
      <c r="B13" s="9"/>
      <c r="C13" s="9"/>
      <c r="D13" s="9"/>
      <c r="E13" s="9"/>
      <c r="F13" s="9"/>
      <c r="G13" s="9"/>
      <c r="H13" s="9"/>
      <c r="I13" s="9"/>
    </row>
    <row r="14" spans="1:9" ht="21.75" customHeight="1">
      <c r="A14" s="19" t="s">
        <v>130</v>
      </c>
      <c r="B14" s="20" t="s">
        <v>93</v>
      </c>
      <c r="C14" s="43">
        <f>'👥 Team &amp; Hours'!C5</f>
        <v>60</v>
      </c>
      <c r="D14" s="36">
        <v>8</v>
      </c>
      <c r="E14" s="22">
        <f>C14*D14</f>
        <v>480</v>
      </c>
      <c r="F14" s="21">
        <v>237</v>
      </c>
      <c r="G14" s="22">
        <f>D14*'⚙️ Overhead Rate'!B14</f>
        <v>572.35698889345952</v>
      </c>
      <c r="H14" s="50"/>
      <c r="I14" s="50"/>
    </row>
    <row r="15" spans="1:9" ht="21.75" customHeight="1">
      <c r="A15" s="23" t="s">
        <v>131</v>
      </c>
      <c r="B15" s="24" t="s">
        <v>89</v>
      </c>
      <c r="C15" s="44">
        <f>'👥 Team &amp; Hours'!C3</f>
        <v>100</v>
      </c>
      <c r="D15" s="36">
        <v>0</v>
      </c>
      <c r="E15" s="25">
        <f>C15*D15</f>
        <v>0</v>
      </c>
      <c r="F15" s="51" t="s">
        <v>132</v>
      </c>
      <c r="G15" s="25">
        <f>D15*'⚙️ Overhead Rate'!B14</f>
        <v>0</v>
      </c>
      <c r="H15" s="52"/>
      <c r="I15" s="52"/>
    </row>
    <row r="16" spans="1:9" ht="25.5" customHeight="1">
      <c r="A16" s="54"/>
      <c r="B16" s="26" t="s">
        <v>136</v>
      </c>
      <c r="C16" s="54"/>
      <c r="D16" s="55">
        <f>SUM(D14:D15)</f>
        <v>8</v>
      </c>
      <c r="E16" s="28">
        <f>SUM(E14:E15)</f>
        <v>480</v>
      </c>
      <c r="F16" s="28">
        <f>F14</f>
        <v>237</v>
      </c>
      <c r="G16" s="28">
        <f>SUM(G14:G15)</f>
        <v>572.35698889345952</v>
      </c>
      <c r="H16" s="28">
        <f>E16+F16+G16</f>
        <v>1289.3569888934594</v>
      </c>
      <c r="I16" s="56">
        <f>H16*(1+D3)</f>
        <v>1740.6319350061704</v>
      </c>
    </row>
    <row r="18" spans="1:9">
      <c r="A18" s="9" t="s">
        <v>137</v>
      </c>
      <c r="B18" s="9"/>
      <c r="C18" s="9"/>
      <c r="D18" s="9"/>
      <c r="E18" s="9"/>
      <c r="F18" s="9"/>
      <c r="G18" s="9"/>
      <c r="H18" s="9"/>
      <c r="I18" s="9"/>
    </row>
    <row r="19" spans="1:9" ht="21.75" customHeight="1">
      <c r="A19" s="23" t="s">
        <v>130</v>
      </c>
      <c r="B19" s="24" t="s">
        <v>93</v>
      </c>
      <c r="C19" s="44">
        <f>'👥 Team &amp; Hours'!C5</f>
        <v>60</v>
      </c>
      <c r="D19" s="36">
        <v>0</v>
      </c>
      <c r="E19" s="25">
        <f>C19*D19</f>
        <v>0</v>
      </c>
      <c r="F19" s="21">
        <v>0</v>
      </c>
      <c r="G19" s="25">
        <f>D19*'⚙️ Overhead Rate'!B14</f>
        <v>0</v>
      </c>
      <c r="H19" s="52"/>
      <c r="I19" s="52"/>
    </row>
    <row r="20" spans="1:9" ht="21.75" customHeight="1">
      <c r="A20" s="19" t="s">
        <v>131</v>
      </c>
      <c r="B20" s="20" t="s">
        <v>89</v>
      </c>
      <c r="C20" s="43">
        <f>'👥 Team &amp; Hours'!C3</f>
        <v>100</v>
      </c>
      <c r="D20" s="36">
        <v>0</v>
      </c>
      <c r="E20" s="22">
        <f>C20*D20</f>
        <v>0</v>
      </c>
      <c r="F20" s="53" t="s">
        <v>132</v>
      </c>
      <c r="G20" s="22">
        <f>D20*'⚙️ Overhead Rate'!B14</f>
        <v>0</v>
      </c>
      <c r="H20" s="50"/>
      <c r="I20" s="50"/>
    </row>
    <row r="21" spans="1:9" ht="25.5" customHeight="1">
      <c r="A21" s="54"/>
      <c r="B21" s="26" t="s">
        <v>138</v>
      </c>
      <c r="C21" s="54"/>
      <c r="D21" s="55">
        <f>SUM(D19:D20)</f>
        <v>0</v>
      </c>
      <c r="E21" s="28">
        <f>SUM(E19:E20)</f>
        <v>0</v>
      </c>
      <c r="F21" s="28">
        <f>F19</f>
        <v>0</v>
      </c>
      <c r="G21" s="28">
        <f>SUM(G19:G20)</f>
        <v>0</v>
      </c>
      <c r="H21" s="28">
        <f>E21+F21+G21</f>
        <v>0</v>
      </c>
      <c r="I21" s="56">
        <f>H21*(1+D3)</f>
        <v>0</v>
      </c>
    </row>
    <row r="23" spans="1:9">
      <c r="A23" s="9" t="s">
        <v>139</v>
      </c>
      <c r="B23" s="9"/>
      <c r="C23" s="9"/>
      <c r="D23" s="9"/>
      <c r="E23" s="9"/>
      <c r="F23" s="9"/>
      <c r="G23" s="9"/>
      <c r="H23" s="9"/>
      <c r="I23" s="9"/>
    </row>
    <row r="24" spans="1:9" ht="21.75" customHeight="1">
      <c r="A24" s="19" t="s">
        <v>130</v>
      </c>
      <c r="B24" s="20" t="s">
        <v>94</v>
      </c>
      <c r="C24" s="43">
        <f>'👥 Team &amp; Hours'!C6</f>
        <v>60</v>
      </c>
      <c r="D24" s="36">
        <v>6</v>
      </c>
      <c r="E24" s="22">
        <f>C24*D24</f>
        <v>360</v>
      </c>
      <c r="F24" s="21">
        <v>0</v>
      </c>
      <c r="G24" s="22">
        <f>D24*'⚙️ Overhead Rate'!B14</f>
        <v>429.26774167009467</v>
      </c>
      <c r="H24" s="50"/>
      <c r="I24" s="50"/>
    </row>
    <row r="25" spans="1:9" ht="21.75" customHeight="1">
      <c r="A25" s="23" t="s">
        <v>131</v>
      </c>
      <c r="B25" s="24" t="s">
        <v>89</v>
      </c>
      <c r="C25" s="44">
        <f>'👥 Team &amp; Hours'!C3</f>
        <v>100</v>
      </c>
      <c r="D25" s="36">
        <v>0</v>
      </c>
      <c r="E25" s="25">
        <f>C25*D25</f>
        <v>0</v>
      </c>
      <c r="F25" s="51" t="s">
        <v>132</v>
      </c>
      <c r="G25" s="25">
        <f>D25*'⚙️ Overhead Rate'!B14</f>
        <v>0</v>
      </c>
      <c r="H25" s="52"/>
      <c r="I25" s="52"/>
    </row>
    <row r="26" spans="1:9" ht="25.5" customHeight="1">
      <c r="A26" s="54"/>
      <c r="B26" s="26" t="s">
        <v>140</v>
      </c>
      <c r="C26" s="54"/>
      <c r="D26" s="55">
        <f>SUM(D24:D25)</f>
        <v>6</v>
      </c>
      <c r="E26" s="28">
        <f>SUM(E24:E25)</f>
        <v>360</v>
      </c>
      <c r="F26" s="28">
        <f>F24</f>
        <v>0</v>
      </c>
      <c r="G26" s="28">
        <f>SUM(G24:G25)</f>
        <v>429.26774167009467</v>
      </c>
      <c r="H26" s="28">
        <f>E26+F26+G26</f>
        <v>789.26774167009467</v>
      </c>
      <c r="I26" s="56">
        <f>H26*(1+D3)</f>
        <v>1065.5114512546279</v>
      </c>
    </row>
  </sheetData>
  <mergeCells count="6">
    <mergeCell ref="A23:I23"/>
    <mergeCell ref="A1:I1"/>
    <mergeCell ref="A3:C3"/>
    <mergeCell ref="A7:I7"/>
    <mergeCell ref="A13:I13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F16"/>
  <sheetViews>
    <sheetView showGridLines="0" zoomScaleNormal="100" workbookViewId="0">
      <pane ySplit="7" topLeftCell="A8" activePane="bottomLeft" state="frozen"/>
      <selection pane="bottomLeft" activeCell="E11" sqref="E11"/>
    </sheetView>
  </sheetViews>
  <sheetFormatPr defaultColWidth="8.7109375" defaultRowHeight="15"/>
  <cols>
    <col min="1" max="1" width="5" customWidth="1"/>
    <col min="2" max="2" width="42" customWidth="1"/>
    <col min="3" max="3" width="16" customWidth="1"/>
    <col min="4" max="4" width="22" customWidth="1"/>
    <col min="5" max="5" width="24" customWidth="1"/>
    <col min="6" max="6" width="28" customWidth="1"/>
  </cols>
  <sheetData>
    <row r="1" spans="1:6" ht="39.75" customHeight="1">
      <c r="A1" s="6" t="s">
        <v>141</v>
      </c>
      <c r="B1" s="6"/>
      <c r="C1" s="6"/>
      <c r="D1" s="6"/>
      <c r="E1" s="6"/>
      <c r="F1" s="6"/>
    </row>
    <row r="2" spans="1:6" ht="7.5" customHeight="1"/>
    <row r="3" spans="1:6">
      <c r="A3" s="5" t="s">
        <v>142</v>
      </c>
      <c r="B3" s="5"/>
      <c r="C3" s="5"/>
      <c r="D3" s="5"/>
      <c r="E3" s="5"/>
      <c r="F3" s="5"/>
    </row>
    <row r="4" spans="1:6" ht="21.75" customHeight="1">
      <c r="A4" s="3" t="s">
        <v>143</v>
      </c>
      <c r="B4" s="3"/>
      <c r="C4" s="3"/>
      <c r="D4" s="58">
        <f>'⚙️ Overhead Rate'!B14</f>
        <v>71.544623611682439</v>
      </c>
      <c r="E4" s="50"/>
      <c r="F4" s="50"/>
    </row>
    <row r="5" spans="1:6" ht="21.75" customHeight="1">
      <c r="A5" s="2" t="s">
        <v>144</v>
      </c>
      <c r="B5" s="2"/>
      <c r="C5" s="2"/>
      <c r="D5" s="60">
        <f>'⚙️ Overhead Rate'!B11</f>
        <v>4862</v>
      </c>
      <c r="E5" s="52"/>
      <c r="F5" s="52"/>
    </row>
    <row r="6" spans="1:6" ht="21.75" customHeight="1">
      <c r="A6" s="3" t="s">
        <v>145</v>
      </c>
      <c r="B6" s="3"/>
      <c r="C6" s="3"/>
      <c r="D6" s="58">
        <f>'⚙️ Overhead Rate'!B7</f>
        <v>347849.96</v>
      </c>
      <c r="E6" s="50"/>
      <c r="F6" s="50"/>
    </row>
    <row r="7" spans="1:6" ht="21.75" customHeight="1">
      <c r="A7" s="2" t="s">
        <v>146</v>
      </c>
      <c r="B7" s="2"/>
      <c r="C7" s="2"/>
      <c r="D7" s="61">
        <f>'🔧 Service Pricing'!D3</f>
        <v>0.35</v>
      </c>
      <c r="E7" s="52"/>
      <c r="F7" s="52"/>
    </row>
    <row r="9" spans="1:6">
      <c r="A9" s="5" t="s">
        <v>147</v>
      </c>
      <c r="B9" s="5"/>
      <c r="C9" s="5"/>
      <c r="D9" s="5"/>
      <c r="E9" s="5"/>
      <c r="F9" s="5"/>
    </row>
    <row r="10" spans="1:6" ht="30" customHeight="1">
      <c r="A10" s="18" t="s">
        <v>121</v>
      </c>
      <c r="B10" s="18" t="s">
        <v>148</v>
      </c>
      <c r="C10" s="18" t="s">
        <v>149</v>
      </c>
      <c r="D10" s="18" t="s">
        <v>127</v>
      </c>
      <c r="E10" s="18" t="s">
        <v>128</v>
      </c>
      <c r="F10" s="18" t="s">
        <v>150</v>
      </c>
    </row>
    <row r="11" spans="1:6" ht="27.75" customHeight="1">
      <c r="A11" s="19" t="s">
        <v>130</v>
      </c>
      <c r="B11" s="57" t="s">
        <v>151</v>
      </c>
      <c r="C11" s="45">
        <f>'🔧 Service Pricing'!D11</f>
        <v>20</v>
      </c>
      <c r="D11" s="43">
        <f>'🔧 Service Pricing'!H11</f>
        <v>3830.8924722336487</v>
      </c>
      <c r="E11" s="58">
        <f>'🔧 Service Pricing'!I11</f>
        <v>5171.7048375154263</v>
      </c>
      <c r="F11" s="19" t="s">
        <v>152</v>
      </c>
    </row>
    <row r="12" spans="1:6" ht="27.75" customHeight="1">
      <c r="A12" s="23" t="s">
        <v>131</v>
      </c>
      <c r="B12" s="59" t="s">
        <v>153</v>
      </c>
      <c r="C12" s="62">
        <f>'🔧 Service Pricing'!D16</f>
        <v>8</v>
      </c>
      <c r="D12" s="44">
        <f>'🔧 Service Pricing'!H16</f>
        <v>1289.3569888934594</v>
      </c>
      <c r="E12" s="63">
        <f>'🔧 Service Pricing'!I16</f>
        <v>1740.6319350061704</v>
      </c>
      <c r="F12" s="23" t="s">
        <v>154</v>
      </c>
    </row>
    <row r="13" spans="1:6" ht="27.75" customHeight="1">
      <c r="A13" s="19" t="s">
        <v>133</v>
      </c>
      <c r="B13" s="57" t="s">
        <v>155</v>
      </c>
      <c r="C13" s="45">
        <f>'🔧 Service Pricing'!D21</f>
        <v>0</v>
      </c>
      <c r="D13" s="43">
        <f>'🔧 Service Pricing'!H21</f>
        <v>0</v>
      </c>
      <c r="E13" s="58">
        <f>'🔧 Service Pricing'!I21</f>
        <v>0</v>
      </c>
      <c r="F13" s="19" t="s">
        <v>156</v>
      </c>
    </row>
    <row r="14" spans="1:6" ht="27.75" customHeight="1">
      <c r="A14" s="23" t="s">
        <v>157</v>
      </c>
      <c r="B14" s="59" t="s">
        <v>158</v>
      </c>
      <c r="C14" s="62">
        <f>'🔧 Service Pricing'!D26</f>
        <v>6</v>
      </c>
      <c r="D14" s="44">
        <f>'🔧 Service Pricing'!H26</f>
        <v>789.26774167009467</v>
      </c>
      <c r="E14" s="63">
        <f>'🔧 Service Pricing'!I26</f>
        <v>1065.5114512546279</v>
      </c>
      <c r="F14" s="23" t="s">
        <v>159</v>
      </c>
    </row>
    <row r="16" spans="1:6" ht="21.75" customHeight="1">
      <c r="A16" s="1" t="s">
        <v>160</v>
      </c>
      <c r="B16" s="1"/>
      <c r="C16" s="1"/>
      <c r="D16" s="1"/>
      <c r="E16" s="1"/>
      <c r="F16" s="1"/>
    </row>
  </sheetData>
  <mergeCells count="8">
    <mergeCell ref="A7:C7"/>
    <mergeCell ref="A9:F9"/>
    <mergeCell ref="A16:F16"/>
    <mergeCell ref="A1:F1"/>
    <mergeCell ref="A3:F3"/>
    <mergeCell ref="A4:C4"/>
    <mergeCell ref="A5:C5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Kemar Miller</cp:lastModifiedBy>
  <cp:revision>0</cp:revision>
  <dcterms:created xsi:type="dcterms:W3CDTF">2026-04-23T02:54:29Z</dcterms:created>
  <dcterms:modified xsi:type="dcterms:W3CDTF">2026-04-23T05:05:58Z</dcterms:modified>
  <cp:category/>
  <cp:contentStatus/>
</cp:coreProperties>
</file>